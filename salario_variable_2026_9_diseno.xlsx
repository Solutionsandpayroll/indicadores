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ristian\Downloads\"/>
    </mc:Choice>
  </mc:AlternateContent>
  <xr:revisionPtr revIDLastSave="0" documentId="13_ncr:1_{C1C7F230-3C59-43CA-8188-5EFCF6E1D642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Resumen" sheetId="2" r:id="rId1"/>
    <sheet name="Salario Variable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6" i="2" l="1"/>
  <c r="D17" i="1"/>
  <c r="B7" i="2" s="1"/>
  <c r="B17" i="1"/>
  <c r="D16" i="1"/>
  <c r="D15" i="1"/>
  <c r="D14" i="1"/>
  <c r="D13" i="1"/>
  <c r="D12" i="1"/>
  <c r="D11" i="1"/>
  <c r="D10" i="1"/>
  <c r="D9" i="1"/>
  <c r="D8" i="1"/>
  <c r="D7" i="1"/>
  <c r="D6" i="1"/>
  <c r="D5" i="1"/>
</calcChain>
</file>

<file path=xl/sharedStrings.xml><?xml version="1.0" encoding="utf-8"?>
<sst xmlns="http://schemas.openxmlformats.org/spreadsheetml/2006/main" count="27" uniqueCount="27">
  <si>
    <t>SALARIO VARIABLE</t>
  </si>
  <si>
    <t>Período: Septiembre 2026</t>
  </si>
  <si>
    <t>Nombre</t>
  </si>
  <si>
    <t>Variable</t>
  </si>
  <si>
    <t>% Cumplimiento</t>
  </si>
  <si>
    <t>Valor a Pagar</t>
  </si>
  <si>
    <t>Alba Suarez</t>
  </si>
  <si>
    <t>Diana Katherine Mendez Pachón</t>
  </si>
  <si>
    <t>Erika Letrado</t>
  </si>
  <si>
    <t>Fabian Morales</t>
  </si>
  <si>
    <t>Jenny Tatiana Chavarro Jérez</t>
  </si>
  <si>
    <t>Julieth Sofia Bonilla</t>
  </si>
  <si>
    <t>Kevin Gonzalez</t>
  </si>
  <si>
    <t>Lesly Yulaine Madrid Higuera</t>
  </si>
  <si>
    <t>Lina Marcela Chinome Guio</t>
  </si>
  <si>
    <t>Marco Castiblanco</t>
  </si>
  <si>
    <t>Nathalie Vaquiro Velez</t>
  </si>
  <si>
    <t>Yeniffer Lorena García Navarro</t>
  </si>
  <si>
    <t>TOTAL</t>
  </si>
  <si>
    <t>RESUMEN EJECUTIVO</t>
  </si>
  <si>
    <t>Salario Variable – Septiembre 2026</t>
  </si>
  <si>
    <t>Concepto</t>
  </si>
  <si>
    <t>Valor</t>
  </si>
  <si>
    <t>Período</t>
  </si>
  <si>
    <t>Sep 2026</t>
  </si>
  <si>
    <t>Total colaboradores</t>
  </si>
  <si>
    <t>Total a pagar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</si>
</sst>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8" x14ac:knownFonts="1">
    <font>
      <sz val="12"/>
      <color theme="1"/>
      <name val="Calibri"/>
      <family val="2"/>
      <charset val="1"/>
    </font>
    <font>
      <b/>
      <sz val="18"/>
      <color rgb="FFFFFFFF"/>
      <name val="Arial"/>
      <charset val="1"/>
    </font>
    <font>
      <i/>
      <sz val="11"/>
      <color rgb="FFFFFFFF"/>
      <name val="Arial"/>
      <charset val="1"/>
    </font>
    <font>
      <b/>
      <sz val="11"/>
      <color rgb="FFFFFFFF"/>
      <name val="Arial"/>
      <charset val="1"/>
    </font>
    <font>
      <sz val="10.5"/>
      <color rgb="FF404040"/>
      <name val="Arial"/>
      <charset val="1"/>
    </font>
    <font>
      <b/>
      <sz val="10.5"/>
      <color rgb="FF404040"/>
      <name val="Arial"/>
      <charset val="1"/>
    </font>
    <font>
      <b/>
      <sz val="10.5"/>
      <color rgb="FF1F3864"/>
      <name val="Arial"/>
      <charset val="1"/>
    </font>
    <font>
      <b/>
      <sz val="11"/>
      <color rgb="FFC9A34E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2E5395"/>
        <bgColor rgb="FF1F3864"/>
      </patternFill>
    </fill>
    <fill>
      <patternFill patternType="solid">
        <fgColor rgb="FFEEF2FA"/>
        <bgColor rgb="FFFFFFFF"/>
      </patternFill>
    </fill>
    <fill>
      <patternFill patternType="solid">
        <fgColor rgb="FFFFFFFF"/>
        <bgColor rgb="FFEEF2FA"/>
      </patternFill>
    </fill>
  </fills>
  <borders count="3">
    <border>
      <left/>
      <right/>
      <top/>
      <bottom/>
      <diagonal/>
    </border>
    <border>
      <left style="thin">
        <color rgb="FFB7C3DC"/>
      </left>
      <right style="thin">
        <color rgb="FFB7C3DC"/>
      </right>
      <top style="thin">
        <color rgb="FFB7C3DC"/>
      </top>
      <bottom style="thin">
        <color rgb="FFB7C3DC"/>
      </bottom>
      <diagonal/>
    </border>
    <border>
      <left/>
      <right/>
      <top style="medium">
        <color rgb="FF1F38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indent="1"/>
    </xf>
    <xf numFmtId="164" fontId="4" fillId="4" borderId="1" xfId="0" applyNumberFormat="1" applyFont="1" applyFill="1" applyBorder="1" applyAlignment="1">
      <alignment horizontal="right" vertical="center"/>
    </xf>
    <xf numFmtId="9" fontId="5" fillId="4" borderId="1" xfId="0" applyNumberFormat="1" applyFont="1" applyFill="1" applyBorder="1" applyAlignment="1">
      <alignment horizontal="center" vertical="center"/>
    </xf>
    <xf numFmtId="164" fontId="6" fillId="4" borderId="1" xfId="0" applyNumberFormat="1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left" vertical="center" indent="1"/>
    </xf>
    <xf numFmtId="164" fontId="4" fillId="5" borderId="1" xfId="0" applyNumberFormat="1" applyFont="1" applyFill="1" applyBorder="1" applyAlignment="1">
      <alignment horizontal="right" vertical="center"/>
    </xf>
    <xf numFmtId="9" fontId="5" fillId="5" borderId="1" xfId="0" applyNumberFormat="1" applyFont="1" applyFill="1" applyBorder="1" applyAlignment="1">
      <alignment horizontal="center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left" vertical="center" indent="1"/>
    </xf>
    <xf numFmtId="164" fontId="7" fillId="2" borderId="2" xfId="0" applyNumberFormat="1" applyFont="1" applyFill="1" applyBorder="1" applyAlignment="1">
      <alignment horizontal="right" vertical="center"/>
    </xf>
    <xf numFmtId="0" fontId="0" fillId="2" borderId="2" xfId="0" applyFill="1" applyBorder="1"/>
    <xf numFmtId="0" fontId="3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indent="1"/>
    </xf>
    <xf numFmtId="0" fontId="6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 indent="1"/>
    </xf>
    <xf numFmtId="0" fontId="6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3DC"/>
      <rgbColor rgb="FF808080"/>
      <rgbColor rgb="FF9999FF"/>
      <rgbColor rgb="FF993366"/>
      <rgbColor rgb="FFEEF2F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C9A34E"/>
      <rgbColor rgb="FF1F3864"/>
      <rgbColor rgb="FF339966"/>
      <rgbColor rgb="FF003300"/>
      <rgbColor rgb="FF333300"/>
      <rgbColor rgb="FF993300"/>
      <rgbColor rgb="FF993366"/>
      <rgbColor rgb="FF2E5395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showGridLines="0" zoomScaleNormal="100" workbookViewId="0">
      <selection activeCell="B17" sqref="B17"/>
    </sheetView>
  </sheetViews>
  <sheetFormatPr baseColWidth="10" defaultColWidth="8.59765625" defaultRowHeight="15.6" x14ac:dyDescent="0.3"/>
  <cols>
    <col min="1" max="1" width="28" customWidth="1"/>
    <col min="2" max="2" width="22" customWidth="1"/>
  </cols>
  <sheetData>
    <row r="1" spans="1:2" ht="33.75" customHeight="1" x14ac:dyDescent="0.3">
      <c r="A1" s="2" t="s">
        <v>19</v>
      </c>
      <c r="B1" s="2"/>
    </row>
    <row r="2" spans="1:2" ht="19.5" customHeight="1" x14ac:dyDescent="0.3">
      <c r="A2" s="1" t="s">
        <v>20</v>
      </c>
      <c r="B2" s="1"/>
    </row>
    <row r="3" spans="1:2" ht="7.5" customHeight="1" x14ac:dyDescent="0.3"/>
    <row r="4" spans="1:2" ht="25.5" customHeight="1" x14ac:dyDescent="0.3">
      <c r="A4" s="15" t="s">
        <v>21</v>
      </c>
      <c r="B4" s="15" t="s">
        <v>22</v>
      </c>
    </row>
    <row r="5" spans="1:2" x14ac:dyDescent="0.3">
      <c r="A5" s="16" t="s">
        <v>23</v>
      </c>
      <c r="B5" s="17" t="s">
        <v>24</v>
      </c>
    </row>
    <row r="6" spans="1:2" x14ac:dyDescent="0.3">
      <c r="A6" s="18" t="s">
        <v>25</v>
      </c>
      <c r="B6" s="19">
        <f>COUNTA('Salario Variable'!A5:A16)</f>
        <v>12</v>
      </c>
    </row>
    <row r="7" spans="1:2" x14ac:dyDescent="0.3">
      <c r="A7" s="16" t="s">
        <v>26</v>
      </c>
      <c r="B7" s="7">
        <f>'Salario Variable'!D17</f>
        <v>738130</v>
      </c>
    </row>
  </sheetData>
  <mergeCells count="2">
    <mergeCell ref="A1:B1"/>
    <mergeCell ref="A2:B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showGridLines="0" tabSelected="1" zoomScaleNormal="100" workbookViewId="0">
      <pane ySplit="4" topLeftCell="A5" activePane="bottomLeft" state="frozen"/>
      <selection pane="bottomLeft" activeCell="D17" sqref="D17"/>
    </sheetView>
  </sheetViews>
  <sheetFormatPr baseColWidth="10" defaultColWidth="8.59765625" defaultRowHeight="15.6" x14ac:dyDescent="0.3"/>
  <cols>
    <col min="1" max="1" width="32" customWidth="1"/>
    <col min="2" max="2" width="15" customWidth="1"/>
    <col min="3" max="4" width="18" customWidth="1"/>
  </cols>
  <sheetData>
    <row r="1" spans="1:4" ht="33.75" customHeight="1" x14ac:dyDescent="0.3">
      <c r="A1" s="2" t="s">
        <v>0</v>
      </c>
      <c r="B1" s="2"/>
      <c r="C1" s="2"/>
      <c r="D1" s="2"/>
    </row>
    <row r="2" spans="1:4" ht="19.5" customHeight="1" x14ac:dyDescent="0.3">
      <c r="A2" s="1" t="s">
        <v>1</v>
      </c>
      <c r="B2" s="1"/>
      <c r="C2" s="1"/>
      <c r="D2" s="1"/>
    </row>
    <row r="3" spans="1:4" ht="7.5" customHeight="1" x14ac:dyDescent="0.3"/>
    <row r="4" spans="1:4" ht="30" customHeight="1" x14ac:dyDescent="0.3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3">
      <c r="A5" s="4" t="s">
        <v>6</v>
      </c>
      <c r="B5" s="5">
        <v>121500</v>
      </c>
      <c r="C5" s="6">
        <v>0.3</v>
      </c>
      <c r="D5" s="7">
        <f t="shared" ref="D5:D16" si="0">B5*C5</f>
        <v>36450</v>
      </c>
    </row>
    <row r="6" spans="1:4" x14ac:dyDescent="0.3">
      <c r="A6" s="8" t="s">
        <v>7</v>
      </c>
      <c r="B6" s="9">
        <v>174000</v>
      </c>
      <c r="C6" s="10">
        <v>0</v>
      </c>
      <c r="D6" s="11">
        <f t="shared" si="0"/>
        <v>0</v>
      </c>
    </row>
    <row r="7" spans="1:4" x14ac:dyDescent="0.3">
      <c r="A7" s="4" t="s">
        <v>8</v>
      </c>
      <c r="B7" s="5">
        <v>174000</v>
      </c>
      <c r="C7" s="6">
        <v>1</v>
      </c>
      <c r="D7" s="7">
        <f t="shared" si="0"/>
        <v>174000</v>
      </c>
    </row>
    <row r="8" spans="1:4" x14ac:dyDescent="0.3">
      <c r="A8" s="8" t="s">
        <v>9</v>
      </c>
      <c r="B8" s="9">
        <v>121500</v>
      </c>
      <c r="C8" s="10">
        <v>0</v>
      </c>
      <c r="D8" s="11">
        <f t="shared" si="0"/>
        <v>0</v>
      </c>
    </row>
    <row r="9" spans="1:4" x14ac:dyDescent="0.3">
      <c r="A9" s="4" t="s">
        <v>10</v>
      </c>
      <c r="B9" s="5">
        <v>174000</v>
      </c>
      <c r="C9" s="6">
        <v>0.3</v>
      </c>
      <c r="D9" s="7">
        <f t="shared" si="0"/>
        <v>52200</v>
      </c>
    </row>
    <row r="10" spans="1:4" x14ac:dyDescent="0.3">
      <c r="A10" s="8" t="s">
        <v>11</v>
      </c>
      <c r="B10" s="9">
        <v>121500</v>
      </c>
      <c r="C10" s="10">
        <v>0</v>
      </c>
      <c r="D10" s="11">
        <f t="shared" si="0"/>
        <v>0</v>
      </c>
    </row>
    <row r="11" spans="1:4" x14ac:dyDescent="0.3">
      <c r="A11" s="4" t="s">
        <v>12</v>
      </c>
      <c r="B11" s="5">
        <v>174000</v>
      </c>
      <c r="C11" s="6">
        <v>1</v>
      </c>
      <c r="D11" s="7">
        <f t="shared" si="0"/>
        <v>174000</v>
      </c>
    </row>
    <row r="12" spans="1:4" x14ac:dyDescent="0.3">
      <c r="A12" s="8" t="s">
        <v>13</v>
      </c>
      <c r="B12" s="9">
        <v>174000</v>
      </c>
      <c r="C12" s="10">
        <v>0</v>
      </c>
      <c r="D12" s="11">
        <f t="shared" si="0"/>
        <v>0</v>
      </c>
    </row>
    <row r="13" spans="1:4" x14ac:dyDescent="0.3">
      <c r="A13" s="4" t="s">
        <v>14</v>
      </c>
      <c r="B13" s="5">
        <v>105100</v>
      </c>
      <c r="C13" s="6">
        <v>1</v>
      </c>
      <c r="D13" s="7">
        <f t="shared" si="0"/>
        <v>105100</v>
      </c>
    </row>
    <row r="14" spans="1:4" x14ac:dyDescent="0.3">
      <c r="A14" s="8" t="s">
        <v>15</v>
      </c>
      <c r="B14" s="9">
        <v>249600</v>
      </c>
      <c r="C14" s="10">
        <v>0</v>
      </c>
      <c r="D14" s="11">
        <f t="shared" si="0"/>
        <v>0</v>
      </c>
    </row>
    <row r="15" spans="1:4" x14ac:dyDescent="0.3">
      <c r="A15" s="4" t="s">
        <v>16</v>
      </c>
      <c r="B15" s="5">
        <v>249600</v>
      </c>
      <c r="C15" s="6">
        <v>0.3</v>
      </c>
      <c r="D15" s="7">
        <f t="shared" si="0"/>
        <v>74880</v>
      </c>
    </row>
    <row r="16" spans="1:4" x14ac:dyDescent="0.3">
      <c r="A16" s="8" t="s">
        <v>17</v>
      </c>
      <c r="B16" s="9">
        <v>121500</v>
      </c>
      <c r="C16" s="10">
        <v>1</v>
      </c>
      <c r="D16" s="11">
        <f t="shared" si="0"/>
        <v>121500</v>
      </c>
    </row>
    <row r="17" spans="1:4" ht="24" customHeight="1" x14ac:dyDescent="0.3">
      <c r="A17" s="12" t="s">
        <v>18</v>
      </c>
      <c r="B17" s="13">
        <f>SUM(B5:B16)</f>
        <v>1960300</v>
      </c>
      <c r="C17" s="14"/>
      <c r="D17" s="13">
        <f>SUM(D5:D16)</f>
        <v>738130</v>
      </c>
    </row>
  </sheetData>
  <mergeCells count="2">
    <mergeCell ref="A1:D1"/>
    <mergeCell ref="A2:D2"/>
  </mergeCells>
  <conditionalFormatting sqref="C5:C16">
    <cfRule type="colorScale" priority="2">
      <colorScale>
        <cfvo type="min"/>
        <cfvo type="percentile" val="50"/>
        <cfvo type="max"/>
        <color rgb="FFF8CBAD"/>
        <color rgb="FFFFE699"/>
        <color rgb="FFC6E0B4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</vt:lpstr>
      <vt:lpstr>Salario Variable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Cristian Parada</cp:lastModifiedBy>
  <cp:revision>0</cp:revision>
  <dcterms:created xsi:type="dcterms:W3CDTF">2026-09-25T17:00:46Z</dcterms:created>
  <dcterms:modified xsi:type="dcterms:W3CDTF">2026-09-25T17:02:09Z</dcterms:modified>
  <dc:language>en-US</dc:language>
</cp:coreProperties>
</file>